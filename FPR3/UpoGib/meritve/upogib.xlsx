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FMF\2. letnik\FPR3\UpoGib\"/>
    </mc:Choice>
  </mc:AlternateContent>
  <xr:revisionPtr revIDLastSave="0" documentId="13_ncr:1_{51800BBF-1CBE-417B-8CC7-672AFB2BF933}" xr6:coauthVersionLast="47" xr6:coauthVersionMax="47" xr10:uidLastSave="{00000000-0000-0000-0000-000000000000}"/>
  <bookViews>
    <workbookView xWindow="28680" yWindow="-120" windowWidth="29040" windowHeight="15840" xr2:uid="{FB249C4F-3311-4B90-ADB5-D564D96BBDBB}"/>
  </bookViews>
  <sheets>
    <sheet name="Sheet1" sheetId="1" r:id="rId1"/>
    <sheet name="Tehni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G4" i="2"/>
  <c r="G5" i="2"/>
  <c r="G6" i="2"/>
  <c r="G7" i="2"/>
  <c r="G8" i="2"/>
  <c r="F4" i="2"/>
  <c r="F5" i="2"/>
  <c r="F6" i="2"/>
  <c r="F7" i="2"/>
  <c r="F8" i="2"/>
  <c r="G3" i="2"/>
  <c r="F3" i="2"/>
  <c r="D4" i="2"/>
  <c r="D5" i="2"/>
  <c r="D6" i="2"/>
  <c r="D7" i="2"/>
  <c r="D8" i="2"/>
  <c r="D3" i="2"/>
  <c r="G2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</calcChain>
</file>

<file path=xl/sharedStrings.xml><?xml version="1.0" encoding="utf-8"?>
<sst xmlns="http://schemas.openxmlformats.org/spreadsheetml/2006/main" count="36" uniqueCount="26">
  <si>
    <t>Meritev \ Palica</t>
  </si>
  <si>
    <t>0-0</t>
  </si>
  <si>
    <t>sprememba mase [g]</t>
  </si>
  <si>
    <t>skupna masa [g]</t>
  </si>
  <si>
    <t>napaka dodane mase</t>
  </si>
  <si>
    <t>Upogib na palici z:</t>
  </si>
  <si>
    <t>Kvadratnim profilom</t>
  </si>
  <si>
    <t>Valjasti profilom</t>
  </si>
  <si>
    <t>Dimenzija \ Palica</t>
  </si>
  <si>
    <t>osn. stranica oz. diameter</t>
  </si>
  <si>
    <t>2. osn. Stranica</t>
  </si>
  <si>
    <t>masa g</t>
  </si>
  <si>
    <t>masa obešala 6g</t>
  </si>
  <si>
    <t>6.9mm</t>
  </si>
  <si>
    <t>pm 1g</t>
  </si>
  <si>
    <t>pm 2mm</t>
  </si>
  <si>
    <t>na</t>
  </si>
  <si>
    <t>Kvadratnim profilom [10^-1 mm]</t>
  </si>
  <si>
    <t>Valjasti profilom [10^-1 mm]</t>
  </si>
  <si>
    <t>dolžina [m]</t>
  </si>
  <si>
    <t>ura</t>
  </si>
  <si>
    <t>masa</t>
  </si>
  <si>
    <t>g</t>
  </si>
  <si>
    <t>mm</t>
  </si>
  <si>
    <t>ki</t>
  </si>
  <si>
    <t>nap. 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</si>
</sst>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19" xfId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0" fillId="0" borderId="27" xfId="0" applyBorder="1"/>
    <xf numFmtId="0" fontId="2" fillId="0" borderId="0" xfId="0" applyFont="1" applyAlignment="1">
      <alignment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7FEB-BFD8-4C52-B6F5-67E16F77B28D}">
  <dimension ref="C1:N28"/>
  <sheetViews>
    <sheetView tabSelected="1" topLeftCell="B1" workbookViewId="0">
      <selection activeCell="K20" sqref="K20"/>
    </sheetView>
  </sheetViews>
  <sheetFormatPr defaultRowHeight="15"/>
  <cols>
    <col min="3" max="3" width="14.5703125" bestFit="1" customWidth="1"/>
    <col min="4" max="4" width="19.7109375" bestFit="1" customWidth="1"/>
    <col min="5" max="5" width="15.7109375" customWidth="1"/>
    <col min="6" max="6" width="15.7109375" bestFit="1" customWidth="1"/>
    <col min="7" max="7" width="30.140625" bestFit="1" customWidth="1"/>
    <col min="8" max="8" width="26.5703125" bestFit="1" customWidth="1"/>
    <col min="10" max="10" width="24.28515625" bestFit="1" customWidth="1"/>
    <col min="11" max="12" width="20.7109375" customWidth="1"/>
  </cols>
  <sheetData>
    <row r="1" spans="3:14" ht="15.75" thickBot="1"/>
    <row r="2" spans="3:14" ht="15.75" thickBot="1">
      <c r="C2" s="30" t="s">
        <v>0</v>
      </c>
      <c r="D2" s="28" t="s">
        <v>2</v>
      </c>
      <c r="E2" s="33" t="s">
        <v>4</v>
      </c>
      <c r="F2" s="28" t="s">
        <v>3</v>
      </c>
      <c r="G2" s="28" t="s">
        <v>5</v>
      </c>
      <c r="H2" s="29"/>
      <c r="J2" s="11" t="s">
        <v>8</v>
      </c>
      <c r="K2" s="12" t="s">
        <v>6</v>
      </c>
      <c r="L2" s="13" t="s">
        <v>7</v>
      </c>
    </row>
    <row r="3" spans="3:14" ht="15.75" thickBot="1">
      <c r="C3" s="31"/>
      <c r="D3" s="32"/>
      <c r="E3" s="34"/>
      <c r="F3" s="32"/>
      <c r="G3" s="6" t="s">
        <v>17</v>
      </c>
      <c r="H3" s="7" t="s">
        <v>18</v>
      </c>
      <c r="J3" s="15" t="s">
        <v>19</v>
      </c>
      <c r="K3" s="4">
        <v>0.56000000000000005</v>
      </c>
      <c r="L3" s="5">
        <v>0.56000000000000005</v>
      </c>
      <c r="M3" t="s">
        <v>15</v>
      </c>
    </row>
    <row r="4" spans="3:14" ht="15.75" thickBot="1">
      <c r="C4" s="2">
        <v>0</v>
      </c>
      <c r="D4" s="4">
        <v>0</v>
      </c>
      <c r="E4" s="5">
        <v>0</v>
      </c>
      <c r="F4" s="8">
        <f>SUM($D$4:D4)</f>
        <v>0</v>
      </c>
      <c r="G4" s="20">
        <v>5.92</v>
      </c>
      <c r="H4" s="21">
        <v>6.02</v>
      </c>
      <c r="J4" s="16" t="s">
        <v>9</v>
      </c>
      <c r="K4" s="18" t="s">
        <v>13</v>
      </c>
      <c r="L4" s="7" t="s">
        <v>13</v>
      </c>
      <c r="M4">
        <f>6.9*10^-3</f>
        <v>6.9000000000000008E-3</v>
      </c>
      <c r="N4">
        <f>0.1*10^-3</f>
        <v>1E-4</v>
      </c>
    </row>
    <row r="5" spans="3:14" ht="15.75" thickBot="1">
      <c r="C5" s="2">
        <v>1</v>
      </c>
      <c r="D5" s="26">
        <v>10</v>
      </c>
      <c r="E5" s="23">
        <v>1</v>
      </c>
      <c r="F5" s="9">
        <f>SUM($D$4:D5)</f>
        <v>10</v>
      </c>
      <c r="G5" s="22">
        <v>5.9</v>
      </c>
      <c r="H5" s="23">
        <v>6.01</v>
      </c>
      <c r="J5" s="17" t="s">
        <v>10</v>
      </c>
      <c r="K5" s="14" t="s">
        <v>13</v>
      </c>
      <c r="L5" s="19"/>
    </row>
    <row r="6" spans="3:14">
      <c r="C6" s="2">
        <v>2</v>
      </c>
      <c r="D6" s="26">
        <v>20</v>
      </c>
      <c r="E6" s="23">
        <v>1</v>
      </c>
      <c r="F6" s="9">
        <f>SUM($D$4:D6)</f>
        <v>30</v>
      </c>
      <c r="G6" s="22">
        <v>5.86</v>
      </c>
      <c r="H6" s="23">
        <v>5.94</v>
      </c>
      <c r="J6" s="1"/>
      <c r="K6" s="1"/>
      <c r="L6" s="1"/>
    </row>
    <row r="7" spans="3:14">
      <c r="C7" s="2">
        <v>3</v>
      </c>
      <c r="D7" s="26">
        <v>20</v>
      </c>
      <c r="E7" s="23">
        <v>1</v>
      </c>
      <c r="F7" s="9">
        <f>SUM($D$4:D7)</f>
        <v>50</v>
      </c>
      <c r="G7" s="22">
        <v>5.83</v>
      </c>
      <c r="H7" s="23">
        <v>5.89</v>
      </c>
      <c r="J7" s="1" t="s">
        <v>11</v>
      </c>
      <c r="K7" s="1">
        <v>262</v>
      </c>
      <c r="L7" s="1">
        <v>208</v>
      </c>
      <c r="M7" t="s">
        <v>14</v>
      </c>
    </row>
    <row r="8" spans="3:14">
      <c r="C8" s="2">
        <v>4</v>
      </c>
      <c r="D8" s="26">
        <v>50</v>
      </c>
      <c r="E8" s="23">
        <v>1</v>
      </c>
      <c r="F8" s="9">
        <f>SUM($D$4:D8)</f>
        <v>100</v>
      </c>
      <c r="G8" s="22">
        <v>5.75</v>
      </c>
      <c r="H8" s="23">
        <v>5.74</v>
      </c>
      <c r="J8" s="1" t="s">
        <v>12</v>
      </c>
      <c r="K8" s="1"/>
      <c r="L8" s="1"/>
    </row>
    <row r="9" spans="3:14">
      <c r="C9" s="2">
        <v>5</v>
      </c>
      <c r="D9" s="26">
        <v>100</v>
      </c>
      <c r="E9" s="23">
        <v>1</v>
      </c>
      <c r="F9" s="9">
        <f>SUM($D$4:D9)</f>
        <v>200</v>
      </c>
      <c r="G9" s="22">
        <v>5.58</v>
      </c>
      <c r="H9" s="23">
        <v>5.46</v>
      </c>
      <c r="J9" s="1"/>
      <c r="K9" s="1"/>
      <c r="L9" s="1"/>
    </row>
    <row r="10" spans="3:14">
      <c r="C10" s="2">
        <v>6</v>
      </c>
      <c r="D10" s="26">
        <v>200</v>
      </c>
      <c r="E10" s="23">
        <v>2</v>
      </c>
      <c r="F10" s="9">
        <f>SUM($D$4:D10)</f>
        <v>400</v>
      </c>
      <c r="G10" s="22">
        <v>5.24</v>
      </c>
      <c r="H10" s="23">
        <v>4.8899999999999997</v>
      </c>
      <c r="J10" s="1"/>
      <c r="K10" s="1"/>
      <c r="L10" s="1"/>
    </row>
    <row r="11" spans="3:14">
      <c r="C11" s="2">
        <v>7</v>
      </c>
      <c r="D11" s="26">
        <v>200</v>
      </c>
      <c r="E11" s="23">
        <v>2</v>
      </c>
      <c r="F11" s="9">
        <f>SUM($D$4:D11)</f>
        <v>600</v>
      </c>
      <c r="G11" s="22">
        <v>4.8899999999999997</v>
      </c>
      <c r="H11" s="23">
        <v>4.33</v>
      </c>
    </row>
    <row r="12" spans="3:14">
      <c r="C12" s="2">
        <v>8</v>
      </c>
      <c r="D12" s="26">
        <v>500</v>
      </c>
      <c r="E12" s="23">
        <v>2</v>
      </c>
      <c r="F12" s="9">
        <f>SUM($D$4:D12)</f>
        <v>1100</v>
      </c>
      <c r="G12" s="22">
        <v>4.03</v>
      </c>
      <c r="H12" s="23">
        <v>2.9</v>
      </c>
    </row>
    <row r="13" spans="3:14">
      <c r="C13" s="2">
        <v>9</v>
      </c>
      <c r="D13" s="26">
        <v>1000</v>
      </c>
      <c r="E13" s="23">
        <v>5</v>
      </c>
      <c r="F13" s="9">
        <f>SUM($D$4:D13)</f>
        <v>2100</v>
      </c>
      <c r="G13" s="22">
        <v>2.33</v>
      </c>
      <c r="H13" s="23">
        <v>0.09</v>
      </c>
    </row>
    <row r="14" spans="3:14">
      <c r="C14" s="2" t="s">
        <v>1</v>
      </c>
      <c r="D14" s="26">
        <v>0</v>
      </c>
      <c r="E14" s="23">
        <v>0</v>
      </c>
      <c r="F14" s="9">
        <f>SUM($D$4:D14)</f>
        <v>2100</v>
      </c>
      <c r="G14" s="22">
        <v>2.3199999999999998</v>
      </c>
      <c r="H14" s="23">
        <v>0.09</v>
      </c>
    </row>
    <row r="15" spans="3:14">
      <c r="C15" s="2">
        <v>9</v>
      </c>
      <c r="D15" s="26">
        <v>-1000</v>
      </c>
      <c r="E15" s="23" t="s">
        <v>16</v>
      </c>
      <c r="F15" s="9">
        <f>SUM($D$4:D15)</f>
        <v>1100</v>
      </c>
      <c r="G15" s="22">
        <v>4.05</v>
      </c>
      <c r="H15" s="23">
        <v>2.89</v>
      </c>
    </row>
    <row r="16" spans="3:14">
      <c r="C16" s="2">
        <v>8</v>
      </c>
      <c r="D16" s="26">
        <v>-500</v>
      </c>
      <c r="E16" s="23" t="s">
        <v>16</v>
      </c>
      <c r="F16" s="9">
        <f>SUM($D$4:D16)</f>
        <v>600</v>
      </c>
      <c r="G16" s="22">
        <v>4.9000000000000004</v>
      </c>
      <c r="H16" s="23">
        <v>4.3099999999999996</v>
      </c>
    </row>
    <row r="17" spans="3:8">
      <c r="C17" s="2">
        <v>7</v>
      </c>
      <c r="D17" s="26">
        <v>-200</v>
      </c>
      <c r="E17" s="23" t="s">
        <v>16</v>
      </c>
      <c r="F17" s="9">
        <f>SUM($D$4:D17)</f>
        <v>400</v>
      </c>
      <c r="G17" s="22">
        <v>5.25</v>
      </c>
      <c r="H17" s="23">
        <v>4.87</v>
      </c>
    </row>
    <row r="18" spans="3:8">
      <c r="C18" s="2">
        <v>6</v>
      </c>
      <c r="D18" s="26">
        <v>-200</v>
      </c>
      <c r="E18" s="23" t="s">
        <v>16</v>
      </c>
      <c r="F18" s="9">
        <f>SUM($D$4:D18)</f>
        <v>200</v>
      </c>
      <c r="G18" s="22">
        <v>5.58</v>
      </c>
      <c r="H18" s="23">
        <v>5.45</v>
      </c>
    </row>
    <row r="19" spans="3:8">
      <c r="C19" s="2">
        <v>5</v>
      </c>
      <c r="D19" s="26">
        <v>-100</v>
      </c>
      <c r="E19" s="23" t="s">
        <v>16</v>
      </c>
      <c r="F19" s="9">
        <f>SUM($D$4:D19)</f>
        <v>100</v>
      </c>
      <c r="G19" s="22">
        <v>5.75</v>
      </c>
      <c r="H19" s="23">
        <v>5.72</v>
      </c>
    </row>
    <row r="20" spans="3:8">
      <c r="C20" s="2">
        <v>4</v>
      </c>
      <c r="D20" s="26">
        <v>-50</v>
      </c>
      <c r="E20" s="23" t="s">
        <v>16</v>
      </c>
      <c r="F20" s="9">
        <f>SUM($D$4:D20)</f>
        <v>50</v>
      </c>
      <c r="G20" s="22">
        <v>5.83</v>
      </c>
      <c r="H20" s="23">
        <v>5.87</v>
      </c>
    </row>
    <row r="21" spans="3:8">
      <c r="C21" s="2">
        <v>3</v>
      </c>
      <c r="D21" s="26">
        <v>-20</v>
      </c>
      <c r="E21" s="23" t="s">
        <v>16</v>
      </c>
      <c r="F21" s="9">
        <f>SUM($D$4:D21)</f>
        <v>30</v>
      </c>
      <c r="G21" s="22">
        <v>5.86</v>
      </c>
      <c r="H21" s="23">
        <v>5.94</v>
      </c>
    </row>
    <row r="22" spans="3:8">
      <c r="C22" s="2">
        <v>2</v>
      </c>
      <c r="D22" s="26">
        <v>-20</v>
      </c>
      <c r="E22" s="23" t="s">
        <v>16</v>
      </c>
      <c r="F22" s="9">
        <f>SUM($D$4:D22)</f>
        <v>10</v>
      </c>
      <c r="G22" s="22">
        <v>5.9</v>
      </c>
      <c r="H22" s="23">
        <v>5.98</v>
      </c>
    </row>
    <row r="23" spans="3:8">
      <c r="C23" s="2">
        <v>1</v>
      </c>
      <c r="D23" s="26">
        <v>-10</v>
      </c>
      <c r="E23" s="23" t="s">
        <v>16</v>
      </c>
      <c r="F23" s="9">
        <f>SUM($D$4:D23)</f>
        <v>0</v>
      </c>
      <c r="G23" s="22">
        <v>5.92</v>
      </c>
      <c r="H23" s="23">
        <v>6.01</v>
      </c>
    </row>
    <row r="24" spans="3:8" ht="15.75" thickBot="1">
      <c r="C24" s="3">
        <v>0</v>
      </c>
      <c r="D24" s="27">
        <v>0</v>
      </c>
      <c r="E24" s="25">
        <v>0</v>
      </c>
      <c r="F24" s="10">
        <f>SUM($D$4:D24)</f>
        <v>0</v>
      </c>
      <c r="G24" s="24">
        <v>5.92</v>
      </c>
      <c r="H24" s="25">
        <v>6.02</v>
      </c>
    </row>
    <row r="25" spans="3:8">
      <c r="C25" s="1"/>
      <c r="D25" s="1"/>
      <c r="E25" s="1"/>
      <c r="F25" s="1"/>
      <c r="G25" s="1">
        <f>COUNT(G4:G24)</f>
        <v>21</v>
      </c>
      <c r="H25" s="1"/>
    </row>
    <row r="28" spans="3:8">
      <c r="D28" s="39"/>
    </row>
  </sheetData>
  <mergeCells count="5">
    <mergeCell ref="G2:H2"/>
    <mergeCell ref="C2:C3"/>
    <mergeCell ref="D2:D3"/>
    <mergeCell ref="F2:F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02C3-A755-4FEF-AEC0-65B689189491}">
  <dimension ref="B1:H12"/>
  <sheetViews>
    <sheetView workbookViewId="0">
      <selection activeCell="Q23" sqref="Q23"/>
    </sheetView>
  </sheetViews>
  <sheetFormatPr defaultRowHeight="15"/>
  <sheetData>
    <row r="1" spans="2:8">
      <c r="D1" t="s">
        <v>23</v>
      </c>
      <c r="E1" t="s">
        <v>22</v>
      </c>
      <c r="H1">
        <v>9.81</v>
      </c>
    </row>
    <row r="2" spans="2:8">
      <c r="B2">
        <v>0.1</v>
      </c>
      <c r="D2" t="s">
        <v>20</v>
      </c>
      <c r="E2" t="s">
        <v>21</v>
      </c>
    </row>
    <row r="3" spans="2:8">
      <c r="C3">
        <v>6.49</v>
      </c>
      <c r="D3">
        <f>C3*$B$2</f>
        <v>0.64900000000000002</v>
      </c>
      <c r="E3">
        <v>90</v>
      </c>
      <c r="F3">
        <f>D3*10^-3</f>
        <v>6.4900000000000005E-4</v>
      </c>
      <c r="G3">
        <f>E3*10^-3</f>
        <v>0.09</v>
      </c>
    </row>
    <row r="4" spans="2:8">
      <c r="C4">
        <v>6.05</v>
      </c>
      <c r="D4">
        <f t="shared" ref="D4:D8" si="0">C4*$B$2</f>
        <v>0.60499999999999998</v>
      </c>
      <c r="E4">
        <v>90</v>
      </c>
      <c r="F4">
        <f t="shared" ref="F4:F8" si="1">D4*10^-3</f>
        <v>6.0499999999999996E-4</v>
      </c>
      <c r="G4">
        <f t="shared" ref="G4:G8" si="2">E4*10^-3</f>
        <v>0.09</v>
      </c>
    </row>
    <row r="5" spans="2:8">
      <c r="C5">
        <v>5.96</v>
      </c>
      <c r="D5">
        <f t="shared" si="0"/>
        <v>0.59599999999999997</v>
      </c>
      <c r="E5">
        <v>95</v>
      </c>
      <c r="F5">
        <f t="shared" si="1"/>
        <v>5.9599999999999996E-4</v>
      </c>
      <c r="G5">
        <f t="shared" si="2"/>
        <v>9.5000000000000001E-2</v>
      </c>
    </row>
    <row r="6" spans="2:8">
      <c r="C6">
        <v>4.13</v>
      </c>
      <c r="D6">
        <f t="shared" si="0"/>
        <v>0.41300000000000003</v>
      </c>
      <c r="E6">
        <v>102</v>
      </c>
      <c r="F6">
        <f t="shared" si="1"/>
        <v>4.1300000000000006E-4</v>
      </c>
      <c r="G6">
        <f t="shared" si="2"/>
        <v>0.10200000000000001</v>
      </c>
    </row>
    <row r="7" spans="2:8">
      <c r="C7">
        <v>3.68</v>
      </c>
      <c r="D7">
        <f t="shared" si="0"/>
        <v>0.36800000000000005</v>
      </c>
      <c r="E7">
        <v>87</v>
      </c>
      <c r="F7">
        <f t="shared" si="1"/>
        <v>3.6800000000000005E-4</v>
      </c>
      <c r="G7">
        <f t="shared" si="2"/>
        <v>8.7000000000000008E-2</v>
      </c>
    </row>
    <row r="8" spans="2:8">
      <c r="C8">
        <v>1.1299999999999999</v>
      </c>
      <c r="D8">
        <f t="shared" si="0"/>
        <v>0.11299999999999999</v>
      </c>
      <c r="E8">
        <v>69</v>
      </c>
      <c r="F8">
        <f t="shared" si="1"/>
        <v>1.13E-4</v>
      </c>
      <c r="G8">
        <f t="shared" si="2"/>
        <v>6.9000000000000006E-2</v>
      </c>
    </row>
    <row r="10" spans="2:8" ht="15.75" thickBot="1"/>
    <row r="11" spans="2:8">
      <c r="E11" s="35" t="s">
        <v>24</v>
      </c>
      <c r="F11" s="36">
        <v>41</v>
      </c>
    </row>
    <row r="12" spans="2:8" ht="15.75" thickBot="1">
      <c r="E12" s="37" t="s">
        <v>25</v>
      </c>
      <c r="F12" s="38">
        <v>9.9039999999999999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Tehnica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2024-10-08T07:31:53Z</dcterms:created>
  <dcterms:modified xsi:type="dcterms:W3CDTF">2024-10-09T17:29:03Z</dcterms:modified>
</cp:coreProperties>
</file>